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Library/Mobile Documents/com~apple~CloudDocs/Desktop/1T/DEPAS/DEPAS Compartido/WEBSITE/Dashboard Financiero/checkinn-api/en_produccion/"/>
    </mc:Choice>
  </mc:AlternateContent>
  <xr:revisionPtr revIDLastSave="0" documentId="8_{5D35A36E-7E3C-0B4C-9798-22DF594C8317}" xr6:coauthVersionLast="36" xr6:coauthVersionMax="36" xr10:uidLastSave="{00000000-0000-0000-0000-000000000000}"/>
  <bookViews>
    <workbookView xWindow="4300" yWindow="2700" windowWidth="27640" windowHeight="16940" xr2:uid="{B626FBEA-7424-D94E-8AC7-39669B2CD8E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34" i="1"/>
  <c r="J33" i="1"/>
  <c r="H33" i="1"/>
  <c r="F33" i="1"/>
  <c r="I32" i="1"/>
  <c r="H32" i="1"/>
  <c r="F32" i="1"/>
  <c r="J31" i="1"/>
  <c r="F31" i="1"/>
  <c r="J30" i="1"/>
  <c r="F30" i="1"/>
  <c r="J29" i="1"/>
  <c r="F29" i="1"/>
  <c r="J28" i="1"/>
  <c r="H28" i="1"/>
</calcChain>
</file>

<file path=xl/sharedStrings.xml><?xml version="1.0" encoding="utf-8"?>
<sst xmlns="http://schemas.openxmlformats.org/spreadsheetml/2006/main" count="382" uniqueCount="170">
  <si>
    <t>Cuenta</t>
  </si>
  <si>
    <t>Subcuenta</t>
  </si>
  <si>
    <t>Categoria</t>
  </si>
  <si>
    <t>Concepto</t>
  </si>
  <si>
    <t>Descripcion</t>
  </si>
  <si>
    <t>Concatenado</t>
  </si>
  <si>
    <t>Notas</t>
  </si>
  <si>
    <t>Semanal</t>
  </si>
  <si>
    <t>Mensual</t>
  </si>
  <si>
    <t>Anual</t>
  </si>
  <si>
    <t>Egreso</t>
  </si>
  <si>
    <t>Gastos Operativos</t>
  </si>
  <si>
    <t>Sueldos</t>
  </si>
  <si>
    <t>Limpieza</t>
  </si>
  <si>
    <t>SueldosLimpieza</t>
  </si>
  <si>
    <t>Mantenimiento</t>
  </si>
  <si>
    <t>Francisco</t>
  </si>
  <si>
    <t>SueldosMantenimientoFrancisco</t>
  </si>
  <si>
    <t>Administracion</t>
  </si>
  <si>
    <t>Auxiliar</t>
  </si>
  <si>
    <t>SueldosAdministracionAuxiliar</t>
  </si>
  <si>
    <t>Andres</t>
  </si>
  <si>
    <t>SueldosAdministracionAndres</t>
  </si>
  <si>
    <t>Claudia</t>
  </si>
  <si>
    <t>SueldosAdministracionClaudia</t>
  </si>
  <si>
    <t>Papa</t>
  </si>
  <si>
    <t>SueldosAdministracionPapa</t>
  </si>
  <si>
    <t>IMSS Personal</t>
  </si>
  <si>
    <t>SueldosIMSS Personal</t>
  </si>
  <si>
    <t>Servicios</t>
  </si>
  <si>
    <t>Lavanderia</t>
  </si>
  <si>
    <t>ServiciosLavanderia</t>
  </si>
  <si>
    <t>Agua</t>
  </si>
  <si>
    <t>ServiciosAgua</t>
  </si>
  <si>
    <t>Luz</t>
  </si>
  <si>
    <t>ServiciosLuz</t>
  </si>
  <si>
    <t>Gas</t>
  </si>
  <si>
    <t>ServiciosGas</t>
  </si>
  <si>
    <t>Internet</t>
  </si>
  <si>
    <t>ServiciosInternet</t>
  </si>
  <si>
    <t>Plataformas</t>
  </si>
  <si>
    <t>Lodgify</t>
  </si>
  <si>
    <t>ServiciosPlataformasLodgify</t>
  </si>
  <si>
    <t>Gestión de reservas</t>
  </si>
  <si>
    <t>Leadsales</t>
  </si>
  <si>
    <t>ServiciosPlataformasLeadsales</t>
  </si>
  <si>
    <t>Whatsapp CRM</t>
  </si>
  <si>
    <t>Contalink</t>
  </si>
  <si>
    <t>ServiciosPlataformasContalink</t>
  </si>
  <si>
    <t>Amazon prime</t>
  </si>
  <si>
    <t>ServiciosPlataformasAmazon prime</t>
  </si>
  <si>
    <t>Netflix</t>
  </si>
  <si>
    <t>ServiciosPlataformasNetflix</t>
  </si>
  <si>
    <t>*Glide</t>
  </si>
  <si>
    <t>ServiciosPlataformas*Glide</t>
  </si>
  <si>
    <t>App para registro de vehículos</t>
  </si>
  <si>
    <t>GoogleOne</t>
  </si>
  <si>
    <t>ServiciosPlataformasGoogleOne</t>
  </si>
  <si>
    <t>Espacio en la nube</t>
  </si>
  <si>
    <t>Breezeway</t>
  </si>
  <si>
    <t>ServiciosPlataformasBreezeway</t>
  </si>
  <si>
    <t>Limpieza y Mantenimiento</t>
  </si>
  <si>
    <t>Kommo</t>
  </si>
  <si>
    <t>ServiciosPlataformasKommo</t>
  </si>
  <si>
    <t>Microsoft</t>
  </si>
  <si>
    <t>ServiciosPlataformasMicrosoft</t>
  </si>
  <si>
    <t>Espacio del correo de ACR</t>
  </si>
  <si>
    <t>Otros Gastos</t>
  </si>
  <si>
    <t>Otros</t>
  </si>
  <si>
    <t>Otros GastosOtros</t>
  </si>
  <si>
    <t>Insumos</t>
  </si>
  <si>
    <t>InsumosLimpieza</t>
  </si>
  <si>
    <t>Blancos</t>
  </si>
  <si>
    <t>InsumosBlancos</t>
  </si>
  <si>
    <t>*1 sabanas, 1 edredon, almohadas, 4 tapetes y 1 cubrecolchon /mes</t>
  </si>
  <si>
    <t>Material Ferreteria</t>
  </si>
  <si>
    <t>MantenimientoMaterial Ferreteria</t>
  </si>
  <si>
    <t>Aparatos Electronicos y Focos</t>
  </si>
  <si>
    <t>Equipamiento Existente</t>
  </si>
  <si>
    <t>Decoracion Existente</t>
  </si>
  <si>
    <t>Equipamiento y Decoracion Nuevos</t>
  </si>
  <si>
    <t>Mantenimiento/reparación eq. cómputo</t>
  </si>
  <si>
    <t>*Limpieza Colchones / sillones</t>
  </si>
  <si>
    <t>Fumigaciones</t>
  </si>
  <si>
    <t>* 1 fumigaciones al año</t>
  </si>
  <si>
    <t>*Carga de Gas de minisplit</t>
  </si>
  <si>
    <t>* Preventivo 1 carga  por minisplit cada año ( 64 minisplit)</t>
  </si>
  <si>
    <t>Nuevo Equipamiento Celdas</t>
  </si>
  <si>
    <t>MantenimientoNuevo Equipamiento Celdas</t>
  </si>
  <si>
    <t>Reemplazo de Minisplit</t>
  </si>
  <si>
    <t>MantenimientoReemplazo de Minisplit</t>
  </si>
  <si>
    <t>* Preventivo 1 minisplit al año</t>
  </si>
  <si>
    <t xml:space="preserve">*Mantenimiento Hidros </t>
  </si>
  <si>
    <t xml:space="preserve">Mantenimiento*Mantenimiento Hidros </t>
  </si>
  <si>
    <t>*Preventivo 3 hidros ( MT, 2CU)</t>
  </si>
  <si>
    <t>*Hidro Nuevo</t>
  </si>
  <si>
    <t>Mantenimiento*Hidro Nuevo</t>
  </si>
  <si>
    <t>*Correctivo 1 al año</t>
  </si>
  <si>
    <t>*Boiler Nuevo</t>
  </si>
  <si>
    <t>Mantenimiento*Boiler Nuevo</t>
  </si>
  <si>
    <t>*1 al año</t>
  </si>
  <si>
    <t>Pipas de Agua</t>
  </si>
  <si>
    <t>MantenimientoPipas de Agua</t>
  </si>
  <si>
    <t>*1 cargas</t>
  </si>
  <si>
    <t>*Lavadoras y secadoras</t>
  </si>
  <si>
    <t>Mantenimiento*Lavadoras y secadoras</t>
  </si>
  <si>
    <t>* Preventivo 1 vez al año ( 12 Equipos)</t>
  </si>
  <si>
    <t>*lavadoras o secadoras Nueva</t>
  </si>
  <si>
    <t>Mantenimiento*lavadoras o secadoras Nueva</t>
  </si>
  <si>
    <t>*Correctivo 1 nueva por año</t>
  </si>
  <si>
    <t>*Colchones</t>
  </si>
  <si>
    <t>Mantenimiento*Colchones</t>
  </si>
  <si>
    <t>*2 al año (64 colchones)</t>
  </si>
  <si>
    <t>*Mesas</t>
  </si>
  <si>
    <t>Mantenimiento*Mesas</t>
  </si>
  <si>
    <t>* 1 Mesas vidrio</t>
  </si>
  <si>
    <t>*Sillas</t>
  </si>
  <si>
    <t>Mantenimiento*Sillas</t>
  </si>
  <si>
    <t>*4 sillas al año</t>
  </si>
  <si>
    <t>*sillon</t>
  </si>
  <si>
    <t>Mantenimiento*sillon</t>
  </si>
  <si>
    <t>*1 sillon por año</t>
  </si>
  <si>
    <t>*Refrigerador nuevo</t>
  </si>
  <si>
    <t>Mantenimiento*Refrigerador nuevo</t>
  </si>
  <si>
    <t>*1 nueva por año</t>
  </si>
  <si>
    <t>*Abanicos</t>
  </si>
  <si>
    <t>Mantenimiento*Abanicos</t>
  </si>
  <si>
    <t>*Decoración</t>
  </si>
  <si>
    <t>Mantenimiento*Decoración</t>
  </si>
  <si>
    <t>*Smart tv</t>
  </si>
  <si>
    <t>Mantenimiento*Smart tv</t>
  </si>
  <si>
    <t>Administrativo</t>
  </si>
  <si>
    <t>Impresiones / Señalitica</t>
  </si>
  <si>
    <t>AdministrativoImpresiones / Señalitica</t>
  </si>
  <si>
    <t>Papeleria</t>
  </si>
  <si>
    <t>AdministrativoPapeleria</t>
  </si>
  <si>
    <t>Caja chica</t>
  </si>
  <si>
    <t>AdministrativoCaja chica</t>
  </si>
  <si>
    <t>Autos</t>
  </si>
  <si>
    <t>Gasolina</t>
  </si>
  <si>
    <t>AutosGasolina</t>
  </si>
  <si>
    <t>*4 vehiculos</t>
  </si>
  <si>
    <t>Seguros</t>
  </si>
  <si>
    <t>AutosSeguros</t>
  </si>
  <si>
    <t>AutosMantenimiento</t>
  </si>
  <si>
    <t>$3,000 / vehiculo por servicio de mantenimiento</t>
  </si>
  <si>
    <t>Tenencia</t>
  </si>
  <si>
    <t>AutosTenencia</t>
  </si>
  <si>
    <t>$1,800 / vehículo promedio</t>
  </si>
  <si>
    <t>Predial</t>
  </si>
  <si>
    <t>Pagado en 2024</t>
  </si>
  <si>
    <t>Impuestos</t>
  </si>
  <si>
    <t>Seguro de gastos médicos</t>
  </si>
  <si>
    <t>Devoluciones</t>
  </si>
  <si>
    <t>Construccion</t>
  </si>
  <si>
    <t>Movimientos Bancarios</t>
  </si>
  <si>
    <t>Inversion</t>
  </si>
  <si>
    <t>Movimientos BancariosInversion</t>
  </si>
  <si>
    <t>Pago TC</t>
  </si>
  <si>
    <t>Movimientos BancariosPago TC</t>
  </si>
  <si>
    <t>Gastos Familiares</t>
  </si>
  <si>
    <t>Viajes</t>
  </si>
  <si>
    <t>Gastos FamiliaresViajes</t>
  </si>
  <si>
    <t>2 viajes vegas, 2 Cancun, 1 Europa</t>
  </si>
  <si>
    <t>Gatos casa</t>
  </si>
  <si>
    <t>Gastos FamiliaresGatos casa</t>
  </si>
  <si>
    <t>Sueldo Papa</t>
  </si>
  <si>
    <t>Gastos FamiliaresSueldo Papa</t>
  </si>
  <si>
    <t xml:space="preserve">Gastos Familiares </t>
  </si>
  <si>
    <t xml:space="preserve">Gastos FamiliaresGastos Familiares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</si>
</sst>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Font="1" applyAlignment="1"/>
    <xf numFmtId="1" fontId="1" fillId="0" borderId="0" xfId="0" applyNumberFormat="1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4CFE-8D25-F849-8BC3-BA08F63BF415}">
  <dimension ref="A1:J69"/>
  <sheetViews>
    <sheetView tabSelected="1" workbookViewId="0">
      <selection sqref="A1:J6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2"/>
      <c r="F2" s="1" t="s">
        <v>14</v>
      </c>
      <c r="G2" s="3"/>
      <c r="H2" s="4">
        <v>12370</v>
      </c>
      <c r="I2" s="4">
        <v>49480</v>
      </c>
      <c r="J2" s="4">
        <v>593760</v>
      </c>
    </row>
    <row r="3" spans="1:10" x14ac:dyDescent="0.2">
      <c r="A3" s="1" t="s">
        <v>10</v>
      </c>
      <c r="B3" s="1" t="s">
        <v>11</v>
      </c>
      <c r="C3" s="1" t="s">
        <v>12</v>
      </c>
      <c r="D3" s="1" t="s">
        <v>15</v>
      </c>
      <c r="E3" s="1" t="s">
        <v>16</v>
      </c>
      <c r="F3" s="1" t="s">
        <v>17</v>
      </c>
      <c r="G3" s="3"/>
      <c r="H3" s="4">
        <v>6000</v>
      </c>
      <c r="I3" s="4">
        <v>24000</v>
      </c>
      <c r="J3" s="4">
        <v>288000</v>
      </c>
    </row>
    <row r="4" spans="1:10" x14ac:dyDescent="0.2">
      <c r="A4" s="1" t="s">
        <v>10</v>
      </c>
      <c r="B4" s="1" t="s">
        <v>11</v>
      </c>
      <c r="C4" s="1" t="s">
        <v>12</v>
      </c>
      <c r="D4" s="1" t="s">
        <v>18</v>
      </c>
      <c r="E4" s="1" t="s">
        <v>19</v>
      </c>
      <c r="F4" s="1" t="s">
        <v>20</v>
      </c>
      <c r="G4" s="3"/>
      <c r="H4" s="4">
        <v>3750</v>
      </c>
      <c r="I4" s="4">
        <v>15000</v>
      </c>
      <c r="J4" s="4">
        <v>180000</v>
      </c>
    </row>
    <row r="5" spans="1:10" x14ac:dyDescent="0.2">
      <c r="A5" s="1" t="s">
        <v>10</v>
      </c>
      <c r="B5" s="1" t="s">
        <v>11</v>
      </c>
      <c r="C5" s="1" t="s">
        <v>12</v>
      </c>
      <c r="D5" s="1" t="s">
        <v>18</v>
      </c>
      <c r="E5" s="1" t="s">
        <v>21</v>
      </c>
      <c r="F5" s="1" t="s">
        <v>22</v>
      </c>
      <c r="G5" s="3"/>
      <c r="H5" s="4">
        <v>7500</v>
      </c>
      <c r="I5" s="4">
        <v>30000</v>
      </c>
      <c r="J5" s="4">
        <v>360000</v>
      </c>
    </row>
    <row r="6" spans="1:10" x14ac:dyDescent="0.2">
      <c r="A6" s="1" t="s">
        <v>10</v>
      </c>
      <c r="B6" s="1" t="s">
        <v>11</v>
      </c>
      <c r="C6" s="1" t="s">
        <v>12</v>
      </c>
      <c r="D6" s="1" t="s">
        <v>18</v>
      </c>
      <c r="E6" s="1" t="s">
        <v>23</v>
      </c>
      <c r="F6" s="1" t="s">
        <v>24</v>
      </c>
      <c r="G6" s="3"/>
      <c r="H6" s="4">
        <v>7500</v>
      </c>
      <c r="I6" s="4">
        <v>30000</v>
      </c>
      <c r="J6" s="4">
        <v>360000</v>
      </c>
    </row>
    <row r="7" spans="1:10" x14ac:dyDescent="0.2">
      <c r="A7" s="1" t="s">
        <v>10</v>
      </c>
      <c r="B7" s="1" t="s">
        <v>11</v>
      </c>
      <c r="C7" s="1" t="s">
        <v>12</v>
      </c>
      <c r="D7" s="1" t="s">
        <v>18</v>
      </c>
      <c r="E7" s="1" t="s">
        <v>25</v>
      </c>
      <c r="F7" s="1" t="s">
        <v>26</v>
      </c>
      <c r="G7" s="3"/>
      <c r="H7" s="4">
        <v>5000</v>
      </c>
      <c r="I7" s="4">
        <v>20000</v>
      </c>
      <c r="J7" s="4">
        <v>240000</v>
      </c>
    </row>
    <row r="8" spans="1:10" x14ac:dyDescent="0.2">
      <c r="A8" s="1" t="s">
        <v>10</v>
      </c>
      <c r="B8" s="1" t="s">
        <v>11</v>
      </c>
      <c r="C8" s="1" t="s">
        <v>12</v>
      </c>
      <c r="D8" s="1" t="s">
        <v>27</v>
      </c>
      <c r="E8" s="1"/>
      <c r="F8" s="1" t="s">
        <v>28</v>
      </c>
      <c r="G8" s="3"/>
      <c r="H8" s="4">
        <v>5481</v>
      </c>
      <c r="I8" s="4">
        <v>21924</v>
      </c>
      <c r="J8" s="4">
        <v>263088</v>
      </c>
    </row>
    <row r="9" spans="1:10" x14ac:dyDescent="0.2">
      <c r="A9" s="1" t="s">
        <v>10</v>
      </c>
      <c r="B9" s="1" t="s">
        <v>11</v>
      </c>
      <c r="C9" s="1" t="s">
        <v>29</v>
      </c>
      <c r="D9" s="1" t="s">
        <v>30</v>
      </c>
      <c r="E9" s="3"/>
      <c r="F9" s="1" t="s">
        <v>31</v>
      </c>
      <c r="G9" s="3"/>
      <c r="H9" s="4">
        <v>3000</v>
      </c>
      <c r="I9" s="4">
        <v>12000</v>
      </c>
      <c r="J9" s="4">
        <v>144000</v>
      </c>
    </row>
    <row r="10" spans="1:10" x14ac:dyDescent="0.2">
      <c r="A10" s="1" t="s">
        <v>10</v>
      </c>
      <c r="B10" s="1" t="s">
        <v>11</v>
      </c>
      <c r="C10" s="1" t="s">
        <v>29</v>
      </c>
      <c r="D10" s="1" t="s">
        <v>32</v>
      </c>
      <c r="E10" s="3"/>
      <c r="F10" s="1" t="s">
        <v>33</v>
      </c>
      <c r="G10" s="3"/>
      <c r="H10" s="4">
        <v>3000</v>
      </c>
      <c r="I10" s="4">
        <v>12000</v>
      </c>
      <c r="J10" s="4">
        <v>144000</v>
      </c>
    </row>
    <row r="11" spans="1:10" x14ac:dyDescent="0.2">
      <c r="A11" s="1" t="s">
        <v>10</v>
      </c>
      <c r="B11" s="1" t="s">
        <v>11</v>
      </c>
      <c r="C11" s="1" t="s">
        <v>29</v>
      </c>
      <c r="D11" s="1" t="s">
        <v>34</v>
      </c>
      <c r="E11" s="3"/>
      <c r="F11" s="1" t="s">
        <v>35</v>
      </c>
      <c r="G11" s="3"/>
      <c r="H11" s="4">
        <v>5000</v>
      </c>
      <c r="I11" s="4">
        <v>20000</v>
      </c>
      <c r="J11" s="4">
        <v>240000</v>
      </c>
    </row>
    <row r="12" spans="1:10" x14ac:dyDescent="0.2">
      <c r="A12" s="1" t="s">
        <v>10</v>
      </c>
      <c r="B12" s="1" t="s">
        <v>11</v>
      </c>
      <c r="C12" s="1" t="s">
        <v>29</v>
      </c>
      <c r="D12" s="1" t="s">
        <v>36</v>
      </c>
      <c r="E12" s="3"/>
      <c r="F12" s="1" t="s">
        <v>37</v>
      </c>
      <c r="G12" s="3"/>
      <c r="H12" s="4">
        <v>2083.3333333333335</v>
      </c>
      <c r="I12" s="4">
        <v>8333.3333333333339</v>
      </c>
      <c r="J12" s="4">
        <v>100000</v>
      </c>
    </row>
    <row r="13" spans="1:10" x14ac:dyDescent="0.2">
      <c r="A13" s="1" t="s">
        <v>10</v>
      </c>
      <c r="B13" s="1" t="s">
        <v>11</v>
      </c>
      <c r="C13" s="1" t="s">
        <v>29</v>
      </c>
      <c r="D13" s="1" t="s">
        <v>38</v>
      </c>
      <c r="E13" s="3"/>
      <c r="F13" s="1" t="s">
        <v>39</v>
      </c>
      <c r="G13" s="3"/>
      <c r="H13" s="4">
        <v>2500</v>
      </c>
      <c r="I13" s="4">
        <v>10000</v>
      </c>
      <c r="J13" s="4">
        <v>120000</v>
      </c>
    </row>
    <row r="14" spans="1:10" x14ac:dyDescent="0.2">
      <c r="A14" s="1" t="s">
        <v>10</v>
      </c>
      <c r="B14" s="1" t="s">
        <v>11</v>
      </c>
      <c r="C14" s="1" t="s">
        <v>29</v>
      </c>
      <c r="D14" s="1" t="s">
        <v>40</v>
      </c>
      <c r="E14" s="1" t="s">
        <v>41</v>
      </c>
      <c r="F14" s="1" t="s">
        <v>42</v>
      </c>
      <c r="G14" s="1" t="s">
        <v>43</v>
      </c>
      <c r="H14" s="4">
        <v>3275</v>
      </c>
      <c r="I14" s="4">
        <v>13100</v>
      </c>
      <c r="J14" s="4">
        <v>157200</v>
      </c>
    </row>
    <row r="15" spans="1:10" x14ac:dyDescent="0.2">
      <c r="A15" s="1" t="s">
        <v>10</v>
      </c>
      <c r="B15" s="1" t="s">
        <v>11</v>
      </c>
      <c r="C15" s="1" t="s">
        <v>29</v>
      </c>
      <c r="D15" s="1" t="s">
        <v>40</v>
      </c>
      <c r="E15" s="1" t="s">
        <v>44</v>
      </c>
      <c r="F15" s="1" t="s">
        <v>45</v>
      </c>
      <c r="G15" s="1" t="s">
        <v>46</v>
      </c>
      <c r="H15" s="4">
        <v>511.5</v>
      </c>
      <c r="I15" s="4">
        <v>2046</v>
      </c>
      <c r="J15" s="4">
        <v>24552</v>
      </c>
    </row>
    <row r="16" spans="1:10" x14ac:dyDescent="0.2">
      <c r="A16" s="1" t="s">
        <v>10</v>
      </c>
      <c r="B16" s="1" t="s">
        <v>11</v>
      </c>
      <c r="C16" s="1" t="s">
        <v>29</v>
      </c>
      <c r="D16" s="1" t="s">
        <v>40</v>
      </c>
      <c r="E16" s="1" t="s">
        <v>47</v>
      </c>
      <c r="F16" s="1" t="s">
        <v>48</v>
      </c>
      <c r="G16" s="3"/>
      <c r="H16" s="4">
        <v>287.5</v>
      </c>
      <c r="I16" s="4">
        <v>1150</v>
      </c>
      <c r="J16" s="4">
        <v>13800</v>
      </c>
    </row>
    <row r="17" spans="1:10" x14ac:dyDescent="0.2">
      <c r="A17" s="1" t="s">
        <v>10</v>
      </c>
      <c r="B17" s="1" t="s">
        <v>11</v>
      </c>
      <c r="C17" s="1" t="s">
        <v>29</v>
      </c>
      <c r="D17" s="1" t="s">
        <v>40</v>
      </c>
      <c r="E17" s="1" t="s">
        <v>49</v>
      </c>
      <c r="F17" s="1" t="s">
        <v>50</v>
      </c>
      <c r="G17" s="3"/>
      <c r="H17" s="4">
        <v>50</v>
      </c>
      <c r="I17" s="4">
        <v>200</v>
      </c>
      <c r="J17" s="4">
        <v>2400</v>
      </c>
    </row>
    <row r="18" spans="1:10" x14ac:dyDescent="0.2">
      <c r="A18" s="1" t="s">
        <v>10</v>
      </c>
      <c r="B18" s="1" t="s">
        <v>11</v>
      </c>
      <c r="C18" s="1" t="s">
        <v>29</v>
      </c>
      <c r="D18" s="1" t="s">
        <v>40</v>
      </c>
      <c r="E18" s="1" t="s">
        <v>51</v>
      </c>
      <c r="F18" s="1" t="s">
        <v>52</v>
      </c>
      <c r="G18" s="3"/>
      <c r="H18" s="4">
        <v>99.5</v>
      </c>
      <c r="I18" s="4">
        <v>398</v>
      </c>
      <c r="J18" s="4">
        <v>4776</v>
      </c>
    </row>
    <row r="19" spans="1:10" x14ac:dyDescent="0.2">
      <c r="A19" s="1" t="s">
        <v>10</v>
      </c>
      <c r="B19" s="1" t="s">
        <v>11</v>
      </c>
      <c r="C19" s="1" t="s">
        <v>29</v>
      </c>
      <c r="D19" s="1" t="s">
        <v>40</v>
      </c>
      <c r="E19" s="1" t="s">
        <v>53</v>
      </c>
      <c r="F19" s="1" t="s">
        <v>54</v>
      </c>
      <c r="G19" s="1" t="s">
        <v>55</v>
      </c>
      <c r="H19" s="4">
        <v>358.33333333333331</v>
      </c>
      <c r="I19" s="4">
        <v>1433.3333333333333</v>
      </c>
      <c r="J19" s="4">
        <v>17200</v>
      </c>
    </row>
    <row r="20" spans="1:10" x14ac:dyDescent="0.2">
      <c r="A20" s="1" t="s">
        <v>10</v>
      </c>
      <c r="B20" s="1" t="s">
        <v>11</v>
      </c>
      <c r="C20" s="1" t="s">
        <v>29</v>
      </c>
      <c r="D20" s="1" t="s">
        <v>40</v>
      </c>
      <c r="E20" s="1" t="s">
        <v>56</v>
      </c>
      <c r="F20" s="1" t="s">
        <v>57</v>
      </c>
      <c r="G20" s="1" t="s">
        <v>58</v>
      </c>
      <c r="H20" s="4">
        <v>124.75</v>
      </c>
      <c r="I20" s="4">
        <v>499</v>
      </c>
      <c r="J20" s="4">
        <v>5988</v>
      </c>
    </row>
    <row r="21" spans="1:10" x14ac:dyDescent="0.2">
      <c r="A21" s="1" t="s">
        <v>10</v>
      </c>
      <c r="B21" s="1" t="s">
        <v>11</v>
      </c>
      <c r="C21" s="1" t="s">
        <v>29</v>
      </c>
      <c r="D21" s="1" t="s">
        <v>40</v>
      </c>
      <c r="E21" s="1" t="s">
        <v>59</v>
      </c>
      <c r="F21" s="1" t="s">
        <v>60</v>
      </c>
      <c r="G21" s="1" t="s">
        <v>61</v>
      </c>
      <c r="H21" s="4">
        <v>2000</v>
      </c>
      <c r="I21" s="4">
        <v>8000</v>
      </c>
      <c r="J21" s="4">
        <v>96000</v>
      </c>
    </row>
    <row r="22" spans="1:10" x14ac:dyDescent="0.2">
      <c r="A22" s="1" t="s">
        <v>10</v>
      </c>
      <c r="B22" s="1" t="s">
        <v>11</v>
      </c>
      <c r="C22" s="1" t="s">
        <v>29</v>
      </c>
      <c r="D22" s="1" t="s">
        <v>40</v>
      </c>
      <c r="E22" s="1" t="s">
        <v>62</v>
      </c>
      <c r="F22" s="1" t="s">
        <v>63</v>
      </c>
      <c r="G22" s="1"/>
      <c r="H22" s="4">
        <v>173.65645833333335</v>
      </c>
      <c r="I22" s="4">
        <v>694.62583333333339</v>
      </c>
      <c r="J22" s="4">
        <v>8335.51</v>
      </c>
    </row>
    <row r="23" spans="1:10" x14ac:dyDescent="0.2">
      <c r="A23" s="1" t="s">
        <v>10</v>
      </c>
      <c r="B23" s="1" t="s">
        <v>11</v>
      </c>
      <c r="C23" s="1" t="s">
        <v>29</v>
      </c>
      <c r="D23" s="1" t="s">
        <v>40</v>
      </c>
      <c r="E23" s="1" t="s">
        <v>64</v>
      </c>
      <c r="F23" s="1" t="s">
        <v>65</v>
      </c>
      <c r="G23" s="1" t="s">
        <v>66</v>
      </c>
      <c r="H23" s="4">
        <v>10</v>
      </c>
      <c r="I23" s="4">
        <v>40</v>
      </c>
      <c r="J23" s="4">
        <v>480</v>
      </c>
    </row>
    <row r="24" spans="1:10" x14ac:dyDescent="0.2">
      <c r="A24" s="1" t="s">
        <v>10</v>
      </c>
      <c r="B24" s="1" t="s">
        <v>11</v>
      </c>
      <c r="C24" s="1" t="s">
        <v>67</v>
      </c>
      <c r="D24" s="1"/>
      <c r="E24" s="1" t="s">
        <v>68</v>
      </c>
      <c r="F24" s="1" t="s">
        <v>69</v>
      </c>
      <c r="G24" s="1"/>
      <c r="H24" s="4">
        <v>500</v>
      </c>
      <c r="I24" s="4">
        <v>2000</v>
      </c>
      <c r="J24" s="4">
        <v>24000</v>
      </c>
    </row>
    <row r="25" spans="1:10" x14ac:dyDescent="0.2">
      <c r="A25" s="1" t="s">
        <v>10</v>
      </c>
      <c r="B25" s="1" t="s">
        <v>11</v>
      </c>
      <c r="C25" s="1" t="s">
        <v>70</v>
      </c>
      <c r="D25" s="1" t="s">
        <v>13</v>
      </c>
      <c r="E25" s="3"/>
      <c r="F25" s="1" t="s">
        <v>71</v>
      </c>
      <c r="G25" s="3"/>
      <c r="H25" s="4">
        <v>3750</v>
      </c>
      <c r="I25" s="4">
        <v>15000</v>
      </c>
      <c r="J25" s="4">
        <v>180000</v>
      </c>
    </row>
    <row r="26" spans="1:10" x14ac:dyDescent="0.2">
      <c r="A26" s="1" t="s">
        <v>10</v>
      </c>
      <c r="B26" s="1" t="s">
        <v>11</v>
      </c>
      <c r="C26" s="1" t="s">
        <v>70</v>
      </c>
      <c r="D26" s="1" t="s">
        <v>72</v>
      </c>
      <c r="E26" s="3"/>
      <c r="F26" s="1" t="s">
        <v>73</v>
      </c>
      <c r="G26" s="1" t="s">
        <v>74</v>
      </c>
      <c r="H26" s="4">
        <v>875</v>
      </c>
      <c r="I26" s="4">
        <v>3500</v>
      </c>
      <c r="J26" s="4">
        <v>42000</v>
      </c>
    </row>
    <row r="27" spans="1:10" x14ac:dyDescent="0.2">
      <c r="A27" s="1" t="s">
        <v>10</v>
      </c>
      <c r="B27" s="1" t="s">
        <v>11</v>
      </c>
      <c r="C27" s="1" t="s">
        <v>15</v>
      </c>
      <c r="D27" s="1" t="s">
        <v>75</v>
      </c>
      <c r="E27" s="3"/>
      <c r="F27" s="1" t="s">
        <v>76</v>
      </c>
      <c r="G27" s="3"/>
      <c r="H27" s="4">
        <v>5000</v>
      </c>
      <c r="I27" s="4">
        <v>20000</v>
      </c>
      <c r="J27" s="4">
        <v>240000</v>
      </c>
    </row>
    <row r="28" spans="1:10" x14ac:dyDescent="0.2">
      <c r="A28" s="1" t="s">
        <v>10</v>
      </c>
      <c r="B28" s="1" t="s">
        <v>11</v>
      </c>
      <c r="C28" s="1" t="s">
        <v>15</v>
      </c>
      <c r="D28" s="1" t="s">
        <v>77</v>
      </c>
      <c r="E28" s="3"/>
      <c r="F28" s="1" t="s">
        <v>77</v>
      </c>
      <c r="G28" s="3"/>
      <c r="H28" s="4">
        <f>I28/4</f>
        <v>1000</v>
      </c>
      <c r="I28" s="4">
        <v>4000</v>
      </c>
      <c r="J28" s="4">
        <f t="shared" ref="J28:J31" si="0">I28*12</f>
        <v>48000</v>
      </c>
    </row>
    <row r="29" spans="1:10" x14ac:dyDescent="0.2">
      <c r="A29" s="1" t="s">
        <v>10</v>
      </c>
      <c r="B29" s="1" t="s">
        <v>11</v>
      </c>
      <c r="C29" s="1" t="s">
        <v>15</v>
      </c>
      <c r="D29" s="1" t="s">
        <v>78</v>
      </c>
      <c r="E29" s="3"/>
      <c r="F29" s="1" t="str">
        <f t="shared" ref="F29:F30" si="1">CONCATENATE(C29,D29,E29)</f>
        <v>MantenimientoEquipamiento Existente</v>
      </c>
      <c r="G29" s="3"/>
      <c r="H29" s="4">
        <v>1000</v>
      </c>
      <c r="I29" s="4">
        <v>4000</v>
      </c>
      <c r="J29" s="4">
        <f t="shared" si="0"/>
        <v>48000</v>
      </c>
    </row>
    <row r="30" spans="1:10" x14ac:dyDescent="0.2">
      <c r="A30" s="1" t="s">
        <v>10</v>
      </c>
      <c r="B30" s="1" t="s">
        <v>11</v>
      </c>
      <c r="C30" s="1" t="s">
        <v>15</v>
      </c>
      <c r="D30" s="1" t="s">
        <v>79</v>
      </c>
      <c r="E30" s="3"/>
      <c r="F30" s="1" t="str">
        <f t="shared" si="1"/>
        <v>MantenimientoDecoracion Existente</v>
      </c>
      <c r="G30" s="3"/>
      <c r="H30" s="4">
        <v>1000</v>
      </c>
      <c r="I30" s="4">
        <v>4000</v>
      </c>
      <c r="J30" s="4">
        <f t="shared" si="0"/>
        <v>48000</v>
      </c>
    </row>
    <row r="31" spans="1:10" x14ac:dyDescent="0.2">
      <c r="A31" s="1" t="s">
        <v>10</v>
      </c>
      <c r="B31" s="1" t="s">
        <v>11</v>
      </c>
      <c r="C31" s="1" t="s">
        <v>15</v>
      </c>
      <c r="D31" s="1" t="s">
        <v>80</v>
      </c>
      <c r="E31" s="3"/>
      <c r="F31" s="1" t="str">
        <f t="shared" ref="F31:F34" si="2">CONCATENATE(C31,D31)</f>
        <v>MantenimientoEquipamiento y Decoracion Nuevos</v>
      </c>
      <c r="G31" s="3"/>
      <c r="H31" s="4">
        <v>1000</v>
      </c>
      <c r="I31" s="4">
        <v>4000</v>
      </c>
      <c r="J31" s="4">
        <f t="shared" si="0"/>
        <v>48000</v>
      </c>
    </row>
    <row r="32" spans="1:10" x14ac:dyDescent="0.2">
      <c r="A32" s="1" t="s">
        <v>10</v>
      </c>
      <c r="B32" s="1" t="s">
        <v>11</v>
      </c>
      <c r="C32" s="1" t="s">
        <v>15</v>
      </c>
      <c r="D32" s="1" t="s">
        <v>81</v>
      </c>
      <c r="E32" s="3"/>
      <c r="F32" s="1" t="str">
        <f t="shared" si="2"/>
        <v>MantenimientoMantenimiento/reparación eq. cómputo</v>
      </c>
      <c r="G32" s="3"/>
      <c r="H32" s="4">
        <f t="shared" ref="H32:H33" si="3">I32/4</f>
        <v>41.666666666666664</v>
      </c>
      <c r="I32" s="4">
        <f>J32/12</f>
        <v>166.66666666666666</v>
      </c>
      <c r="J32" s="4">
        <v>2000</v>
      </c>
    </row>
    <row r="33" spans="1:10" x14ac:dyDescent="0.2">
      <c r="A33" s="1" t="s">
        <v>10</v>
      </c>
      <c r="B33" s="1" t="s">
        <v>11</v>
      </c>
      <c r="C33" s="1" t="s">
        <v>15</v>
      </c>
      <c r="D33" s="1" t="s">
        <v>82</v>
      </c>
      <c r="E33" s="3"/>
      <c r="F33" s="1" t="str">
        <f t="shared" si="2"/>
        <v>Mantenimiento*Limpieza Colchones / sillones</v>
      </c>
      <c r="G33" s="3"/>
      <c r="H33" s="4">
        <f t="shared" si="3"/>
        <v>800</v>
      </c>
      <c r="I33" s="4">
        <v>3200</v>
      </c>
      <c r="J33" s="4">
        <f>I33*12</f>
        <v>38400</v>
      </c>
    </row>
    <row r="34" spans="1:10" x14ac:dyDescent="0.2">
      <c r="A34" s="1" t="s">
        <v>10</v>
      </c>
      <c r="B34" s="1" t="s">
        <v>11</v>
      </c>
      <c r="C34" s="1" t="s">
        <v>15</v>
      </c>
      <c r="D34" s="1" t="s">
        <v>83</v>
      </c>
      <c r="E34" s="3"/>
      <c r="F34" s="1" t="str">
        <f t="shared" si="2"/>
        <v>MantenimientoFumigaciones</v>
      </c>
      <c r="G34" s="5" t="s">
        <v>84</v>
      </c>
      <c r="H34" s="4">
        <v>156.25</v>
      </c>
      <c r="I34" s="4">
        <v>625</v>
      </c>
      <c r="J34" s="4">
        <v>7500</v>
      </c>
    </row>
    <row r="35" spans="1:10" x14ac:dyDescent="0.2">
      <c r="A35" s="1" t="s">
        <v>10</v>
      </c>
      <c r="B35" s="1" t="s">
        <v>11</v>
      </c>
      <c r="C35" s="1" t="s">
        <v>15</v>
      </c>
      <c r="D35" s="1" t="s">
        <v>85</v>
      </c>
      <c r="E35" s="1"/>
      <c r="F35" s="1" t="str">
        <f>CONCATENATE(C35,D35,E35)</f>
        <v>Mantenimiento*Carga de Gas de minisplit</v>
      </c>
      <c r="G35" s="1" t="s">
        <v>86</v>
      </c>
      <c r="H35" s="4">
        <v>1333.3333333333333</v>
      </c>
      <c r="I35" s="4">
        <v>5333.333333333333</v>
      </c>
      <c r="J35" s="4">
        <v>32000</v>
      </c>
    </row>
    <row r="36" spans="1:10" x14ac:dyDescent="0.2">
      <c r="A36" s="1" t="s">
        <v>10</v>
      </c>
      <c r="B36" s="1" t="s">
        <v>11</v>
      </c>
      <c r="C36" s="1" t="s">
        <v>15</v>
      </c>
      <c r="D36" s="1" t="s">
        <v>87</v>
      </c>
      <c r="E36" s="1"/>
      <c r="F36" s="1" t="s">
        <v>88</v>
      </c>
      <c r="G36" s="1" t="s">
        <v>86</v>
      </c>
      <c r="H36" s="4">
        <v>1333.3333333333333</v>
      </c>
      <c r="I36" s="4">
        <v>5333.333333333333</v>
      </c>
      <c r="J36" s="4">
        <v>32000</v>
      </c>
    </row>
    <row r="37" spans="1:10" x14ac:dyDescent="0.2">
      <c r="A37" s="1" t="s">
        <v>10</v>
      </c>
      <c r="B37" s="1" t="s">
        <v>11</v>
      </c>
      <c r="C37" s="1" t="s">
        <v>15</v>
      </c>
      <c r="D37" s="1" t="s">
        <v>89</v>
      </c>
      <c r="E37" s="1"/>
      <c r="F37" s="1" t="s">
        <v>90</v>
      </c>
      <c r="G37" s="1" t="s">
        <v>91</v>
      </c>
      <c r="H37" s="4">
        <v>154.16666666666666</v>
      </c>
      <c r="I37" s="4">
        <v>616.66666666666663</v>
      </c>
      <c r="J37" s="4">
        <v>7400</v>
      </c>
    </row>
    <row r="38" spans="1:10" x14ac:dyDescent="0.2">
      <c r="A38" s="1" t="s">
        <v>10</v>
      </c>
      <c r="B38" s="1" t="s">
        <v>11</v>
      </c>
      <c r="C38" s="1" t="s">
        <v>15</v>
      </c>
      <c r="D38" s="1" t="s">
        <v>92</v>
      </c>
      <c r="E38" s="1"/>
      <c r="F38" s="1" t="s">
        <v>93</v>
      </c>
      <c r="G38" s="1" t="s">
        <v>94</v>
      </c>
      <c r="H38" s="4">
        <v>62.5</v>
      </c>
      <c r="I38" s="4">
        <v>250</v>
      </c>
      <c r="J38" s="4">
        <v>3000</v>
      </c>
    </row>
    <row r="39" spans="1:10" x14ac:dyDescent="0.2">
      <c r="A39" s="1" t="s">
        <v>10</v>
      </c>
      <c r="B39" s="1" t="s">
        <v>11</v>
      </c>
      <c r="C39" s="1" t="s">
        <v>15</v>
      </c>
      <c r="D39" s="1" t="s">
        <v>95</v>
      </c>
      <c r="E39" s="1"/>
      <c r="F39" s="1" t="s">
        <v>96</v>
      </c>
      <c r="G39" s="1" t="s">
        <v>97</v>
      </c>
      <c r="H39" s="4">
        <v>312.5</v>
      </c>
      <c r="I39" s="4">
        <v>1250</v>
      </c>
      <c r="J39" s="4">
        <v>15000</v>
      </c>
    </row>
    <row r="40" spans="1:10" x14ac:dyDescent="0.2">
      <c r="A40" s="1" t="s">
        <v>10</v>
      </c>
      <c r="B40" s="1" t="s">
        <v>11</v>
      </c>
      <c r="C40" s="1" t="s">
        <v>15</v>
      </c>
      <c r="D40" s="1" t="s">
        <v>98</v>
      </c>
      <c r="E40" s="3"/>
      <c r="F40" s="1" t="s">
        <v>99</v>
      </c>
      <c r="G40" s="1" t="s">
        <v>100</v>
      </c>
      <c r="H40" s="4">
        <v>145.83333333333334</v>
      </c>
      <c r="I40" s="4">
        <v>583.33333333333337</v>
      </c>
      <c r="J40" s="4">
        <v>7000</v>
      </c>
    </row>
    <row r="41" spans="1:10" x14ac:dyDescent="0.2">
      <c r="A41" s="1" t="s">
        <v>10</v>
      </c>
      <c r="B41" s="1" t="s">
        <v>11</v>
      </c>
      <c r="C41" s="1" t="s">
        <v>15</v>
      </c>
      <c r="D41" s="1" t="s">
        <v>101</v>
      </c>
      <c r="E41" s="3"/>
      <c r="F41" s="1" t="s">
        <v>102</v>
      </c>
      <c r="G41" s="1" t="s">
        <v>103</v>
      </c>
      <c r="H41" s="4">
        <v>162.5</v>
      </c>
      <c r="I41" s="4">
        <v>650</v>
      </c>
      <c r="J41" s="4">
        <v>7800</v>
      </c>
    </row>
    <row r="42" spans="1:10" x14ac:dyDescent="0.2">
      <c r="A42" s="1" t="s">
        <v>10</v>
      </c>
      <c r="B42" s="1" t="s">
        <v>11</v>
      </c>
      <c r="C42" s="1" t="s">
        <v>15</v>
      </c>
      <c r="D42" s="1" t="s">
        <v>104</v>
      </c>
      <c r="E42" s="1"/>
      <c r="F42" s="1" t="s">
        <v>105</v>
      </c>
      <c r="G42" s="1" t="s">
        <v>106</v>
      </c>
      <c r="H42" s="4">
        <v>300</v>
      </c>
      <c r="I42" s="4">
        <v>1200</v>
      </c>
      <c r="J42" s="4">
        <v>14400</v>
      </c>
    </row>
    <row r="43" spans="1:10" x14ac:dyDescent="0.2">
      <c r="A43" s="1" t="s">
        <v>10</v>
      </c>
      <c r="B43" s="1" t="s">
        <v>11</v>
      </c>
      <c r="C43" s="1" t="s">
        <v>15</v>
      </c>
      <c r="D43" s="1" t="s">
        <v>107</v>
      </c>
      <c r="E43" s="1"/>
      <c r="F43" s="1" t="s">
        <v>108</v>
      </c>
      <c r="G43" s="1" t="s">
        <v>109</v>
      </c>
      <c r="H43" s="4">
        <v>166.66666666666666</v>
      </c>
      <c r="I43" s="4">
        <v>666.66666666666663</v>
      </c>
      <c r="J43" s="4">
        <v>8000</v>
      </c>
    </row>
    <row r="44" spans="1:10" x14ac:dyDescent="0.2">
      <c r="A44" s="1" t="s">
        <v>10</v>
      </c>
      <c r="B44" s="1" t="s">
        <v>11</v>
      </c>
      <c r="C44" s="1" t="s">
        <v>15</v>
      </c>
      <c r="D44" s="1" t="s">
        <v>110</v>
      </c>
      <c r="E44" s="3"/>
      <c r="F44" s="1" t="s">
        <v>111</v>
      </c>
      <c r="G44" s="1" t="s">
        <v>112</v>
      </c>
      <c r="H44" s="4">
        <v>208.33333333333334</v>
      </c>
      <c r="I44" s="4">
        <v>833.33333333333337</v>
      </c>
      <c r="J44" s="4">
        <v>10000</v>
      </c>
    </row>
    <row r="45" spans="1:10" x14ac:dyDescent="0.2">
      <c r="A45" s="1" t="s">
        <v>10</v>
      </c>
      <c r="B45" s="1" t="s">
        <v>11</v>
      </c>
      <c r="C45" s="1" t="s">
        <v>15</v>
      </c>
      <c r="D45" s="1" t="s">
        <v>113</v>
      </c>
      <c r="E45" s="3"/>
      <c r="F45" s="1" t="s">
        <v>114</v>
      </c>
      <c r="G45" s="1" t="s">
        <v>115</v>
      </c>
      <c r="H45" s="4">
        <v>145.83333333333334</v>
      </c>
      <c r="I45" s="4">
        <v>583.33333333333337</v>
      </c>
      <c r="J45" s="4">
        <v>7000</v>
      </c>
    </row>
    <row r="46" spans="1:10" x14ac:dyDescent="0.2">
      <c r="A46" s="1" t="s">
        <v>10</v>
      </c>
      <c r="B46" s="1" t="s">
        <v>11</v>
      </c>
      <c r="C46" s="1" t="s">
        <v>15</v>
      </c>
      <c r="D46" s="1" t="s">
        <v>116</v>
      </c>
      <c r="E46" s="3"/>
      <c r="F46" s="1" t="s">
        <v>117</v>
      </c>
      <c r="G46" s="1" t="s">
        <v>118</v>
      </c>
      <c r="H46" s="4">
        <v>83.333333333333329</v>
      </c>
      <c r="I46" s="4">
        <v>333.33333333333331</v>
      </c>
      <c r="J46" s="4">
        <v>4000</v>
      </c>
    </row>
    <row r="47" spans="1:10" x14ac:dyDescent="0.2">
      <c r="A47" s="1" t="s">
        <v>10</v>
      </c>
      <c r="B47" s="1" t="s">
        <v>11</v>
      </c>
      <c r="C47" s="1" t="s">
        <v>15</v>
      </c>
      <c r="D47" s="1" t="s">
        <v>119</v>
      </c>
      <c r="E47" s="3"/>
      <c r="F47" s="1" t="s">
        <v>120</v>
      </c>
      <c r="G47" s="1" t="s">
        <v>121</v>
      </c>
      <c r="H47" s="4">
        <v>145.83333333333334</v>
      </c>
      <c r="I47" s="4">
        <v>583.33333333333337</v>
      </c>
      <c r="J47" s="4">
        <v>7000</v>
      </c>
    </row>
    <row r="48" spans="1:10" x14ac:dyDescent="0.2">
      <c r="A48" s="1" t="s">
        <v>10</v>
      </c>
      <c r="B48" s="1" t="s">
        <v>11</v>
      </c>
      <c r="C48" s="1" t="s">
        <v>15</v>
      </c>
      <c r="D48" s="1" t="s">
        <v>122</v>
      </c>
      <c r="E48" s="3"/>
      <c r="F48" s="1" t="s">
        <v>123</v>
      </c>
      <c r="G48" s="1" t="s">
        <v>124</v>
      </c>
      <c r="H48" s="4">
        <v>166.66666666666666</v>
      </c>
      <c r="I48" s="4">
        <v>666.66666666666663</v>
      </c>
      <c r="J48" s="4">
        <v>8000</v>
      </c>
    </row>
    <row r="49" spans="1:10" x14ac:dyDescent="0.2">
      <c r="A49" s="1" t="s">
        <v>10</v>
      </c>
      <c r="B49" s="1" t="s">
        <v>11</v>
      </c>
      <c r="C49" s="1" t="s">
        <v>15</v>
      </c>
      <c r="D49" s="1" t="s">
        <v>125</v>
      </c>
      <c r="E49" s="3"/>
      <c r="F49" s="1" t="s">
        <v>126</v>
      </c>
      <c r="G49" s="1"/>
      <c r="H49" s="4"/>
      <c r="I49" s="4">
        <v>416.66666666666669</v>
      </c>
      <c r="J49" s="4">
        <v>5000</v>
      </c>
    </row>
    <row r="50" spans="1:10" x14ac:dyDescent="0.2">
      <c r="A50" s="1" t="s">
        <v>10</v>
      </c>
      <c r="B50" s="1" t="s">
        <v>11</v>
      </c>
      <c r="C50" s="1" t="s">
        <v>15</v>
      </c>
      <c r="D50" s="1" t="s">
        <v>127</v>
      </c>
      <c r="E50" s="3"/>
      <c r="F50" s="1" t="s">
        <v>128</v>
      </c>
      <c r="G50" s="1"/>
      <c r="H50" s="4">
        <v>500</v>
      </c>
      <c r="I50" s="4">
        <v>2000</v>
      </c>
      <c r="J50" s="4">
        <v>24000</v>
      </c>
    </row>
    <row r="51" spans="1:10" x14ac:dyDescent="0.2">
      <c r="A51" s="1" t="s">
        <v>10</v>
      </c>
      <c r="B51" s="1" t="s">
        <v>11</v>
      </c>
      <c r="C51" s="1" t="s">
        <v>15</v>
      </c>
      <c r="D51" s="1" t="s">
        <v>129</v>
      </c>
      <c r="E51" s="3"/>
      <c r="F51" s="1" t="s">
        <v>130</v>
      </c>
      <c r="G51" s="1" t="s">
        <v>100</v>
      </c>
      <c r="H51" s="4">
        <v>156.25</v>
      </c>
      <c r="I51" s="4">
        <v>625</v>
      </c>
      <c r="J51" s="4">
        <v>7500</v>
      </c>
    </row>
    <row r="52" spans="1:10" x14ac:dyDescent="0.2">
      <c r="A52" s="1" t="s">
        <v>10</v>
      </c>
      <c r="B52" s="1" t="s">
        <v>11</v>
      </c>
      <c r="C52" s="1" t="s">
        <v>131</v>
      </c>
      <c r="D52" s="1" t="s">
        <v>132</v>
      </c>
      <c r="E52" s="3"/>
      <c r="F52" s="1" t="s">
        <v>133</v>
      </c>
      <c r="G52" s="3"/>
      <c r="H52" s="4">
        <v>62.5</v>
      </c>
      <c r="I52" s="4">
        <v>250</v>
      </c>
      <c r="J52" s="4">
        <v>3000</v>
      </c>
    </row>
    <row r="53" spans="1:10" x14ac:dyDescent="0.2">
      <c r="A53" s="1" t="s">
        <v>10</v>
      </c>
      <c r="B53" s="1" t="s">
        <v>11</v>
      </c>
      <c r="C53" s="1" t="s">
        <v>131</v>
      </c>
      <c r="D53" s="1" t="s">
        <v>134</v>
      </c>
      <c r="E53" s="3"/>
      <c r="F53" s="1" t="s">
        <v>135</v>
      </c>
      <c r="G53" s="3"/>
      <c r="H53" s="4">
        <v>100</v>
      </c>
      <c r="I53" s="4">
        <v>400</v>
      </c>
      <c r="J53" s="4">
        <v>4800</v>
      </c>
    </row>
    <row r="54" spans="1:10" x14ac:dyDescent="0.2">
      <c r="A54" s="1" t="s">
        <v>10</v>
      </c>
      <c r="B54" s="1" t="s">
        <v>11</v>
      </c>
      <c r="C54" s="1" t="s">
        <v>131</v>
      </c>
      <c r="D54" s="1" t="s">
        <v>136</v>
      </c>
      <c r="E54" s="3"/>
      <c r="F54" s="1" t="s">
        <v>137</v>
      </c>
      <c r="G54" s="3"/>
      <c r="H54" s="4">
        <v>3000</v>
      </c>
      <c r="I54" s="4">
        <v>3000</v>
      </c>
      <c r="J54" s="4">
        <v>3000</v>
      </c>
    </row>
    <row r="55" spans="1:10" x14ac:dyDescent="0.2">
      <c r="A55" s="1" t="s">
        <v>10</v>
      </c>
      <c r="B55" s="1" t="s">
        <v>11</v>
      </c>
      <c r="C55" s="1" t="s">
        <v>138</v>
      </c>
      <c r="D55" s="1" t="s">
        <v>139</v>
      </c>
      <c r="E55" s="1"/>
      <c r="F55" s="1" t="s">
        <v>140</v>
      </c>
      <c r="G55" s="1" t="s">
        <v>141</v>
      </c>
      <c r="H55" s="4">
        <v>3650</v>
      </c>
      <c r="I55" s="4">
        <v>14600</v>
      </c>
      <c r="J55" s="4">
        <v>175200</v>
      </c>
    </row>
    <row r="56" spans="1:10" x14ac:dyDescent="0.2">
      <c r="A56" s="1" t="s">
        <v>10</v>
      </c>
      <c r="B56" s="1" t="s">
        <v>11</v>
      </c>
      <c r="C56" s="1" t="s">
        <v>138</v>
      </c>
      <c r="D56" s="1" t="s">
        <v>142</v>
      </c>
      <c r="E56" s="1"/>
      <c r="F56" s="1" t="s">
        <v>143</v>
      </c>
      <c r="G56" s="1"/>
      <c r="H56" s="4">
        <v>600</v>
      </c>
      <c r="I56" s="4">
        <v>2400</v>
      </c>
      <c r="J56" s="4">
        <v>28800</v>
      </c>
    </row>
    <row r="57" spans="1:10" x14ac:dyDescent="0.2">
      <c r="A57" s="1" t="s">
        <v>10</v>
      </c>
      <c r="B57" s="1" t="s">
        <v>11</v>
      </c>
      <c r="C57" s="1" t="s">
        <v>138</v>
      </c>
      <c r="D57" s="1" t="s">
        <v>15</v>
      </c>
      <c r="E57" s="1"/>
      <c r="F57" s="1" t="s">
        <v>144</v>
      </c>
      <c r="G57" s="1" t="s">
        <v>145</v>
      </c>
      <c r="H57" s="4">
        <v>250</v>
      </c>
      <c r="I57" s="4">
        <v>1000</v>
      </c>
      <c r="J57" s="4">
        <v>12000</v>
      </c>
    </row>
    <row r="58" spans="1:10" x14ac:dyDescent="0.2">
      <c r="A58" s="1" t="s">
        <v>10</v>
      </c>
      <c r="B58" s="1" t="s">
        <v>11</v>
      </c>
      <c r="C58" s="1" t="s">
        <v>138</v>
      </c>
      <c r="D58" s="1" t="s">
        <v>146</v>
      </c>
      <c r="E58" s="1"/>
      <c r="F58" s="1" t="s">
        <v>147</v>
      </c>
      <c r="G58" s="1" t="s">
        <v>148</v>
      </c>
      <c r="H58" s="4">
        <v>150</v>
      </c>
      <c r="I58" s="4">
        <v>600</v>
      </c>
      <c r="J58" s="4">
        <v>7200</v>
      </c>
    </row>
    <row r="59" spans="1:10" x14ac:dyDescent="0.2">
      <c r="A59" s="1" t="s">
        <v>10</v>
      </c>
      <c r="B59" s="1" t="s">
        <v>11</v>
      </c>
      <c r="C59" s="1" t="s">
        <v>149</v>
      </c>
      <c r="D59" s="3"/>
      <c r="E59" s="3"/>
      <c r="F59" s="1" t="s">
        <v>149</v>
      </c>
      <c r="G59" s="1" t="s">
        <v>150</v>
      </c>
      <c r="H59" s="4">
        <v>1458.3333333333333</v>
      </c>
      <c r="I59" s="4">
        <v>5833.333333333333</v>
      </c>
      <c r="J59" s="4">
        <v>70000</v>
      </c>
    </row>
    <row r="60" spans="1:10" x14ac:dyDescent="0.2">
      <c r="A60" s="1" t="s">
        <v>10</v>
      </c>
      <c r="B60" s="1" t="s">
        <v>11</v>
      </c>
      <c r="C60" s="1" t="s">
        <v>151</v>
      </c>
      <c r="D60" s="3"/>
      <c r="E60" s="3"/>
      <c r="F60" s="1" t="s">
        <v>151</v>
      </c>
      <c r="G60" s="1"/>
      <c r="H60" s="4">
        <v>5000</v>
      </c>
      <c r="I60" s="4">
        <v>20000</v>
      </c>
      <c r="J60" s="4">
        <v>240000</v>
      </c>
    </row>
    <row r="61" spans="1:10" x14ac:dyDescent="0.2">
      <c r="A61" s="1" t="s">
        <v>10</v>
      </c>
      <c r="B61" s="1" t="s">
        <v>11</v>
      </c>
      <c r="C61" s="1" t="s">
        <v>152</v>
      </c>
      <c r="D61" s="3"/>
      <c r="E61" s="3"/>
      <c r="F61" s="1" t="s">
        <v>152</v>
      </c>
      <c r="G61" s="1"/>
      <c r="H61" s="4">
        <v>5416.666666666667</v>
      </c>
      <c r="I61" s="4">
        <v>21666.666666666668</v>
      </c>
      <c r="J61" s="4">
        <v>260000</v>
      </c>
    </row>
    <row r="62" spans="1:10" x14ac:dyDescent="0.2">
      <c r="A62" s="1" t="s">
        <v>10</v>
      </c>
      <c r="B62" s="1" t="s">
        <v>11</v>
      </c>
      <c r="C62" s="1" t="s">
        <v>67</v>
      </c>
      <c r="D62" s="3"/>
      <c r="E62" s="3"/>
      <c r="F62" s="1" t="s">
        <v>67</v>
      </c>
      <c r="G62" s="1" t="s">
        <v>153</v>
      </c>
      <c r="H62" s="4">
        <v>5300</v>
      </c>
      <c r="I62" s="4">
        <v>21200</v>
      </c>
      <c r="J62" s="4">
        <v>254400</v>
      </c>
    </row>
    <row r="63" spans="1:10" x14ac:dyDescent="0.2">
      <c r="A63" s="1" t="s">
        <v>10</v>
      </c>
      <c r="B63" s="1" t="s">
        <v>11</v>
      </c>
      <c r="C63" s="1" t="s">
        <v>154</v>
      </c>
      <c r="D63" s="3"/>
      <c r="E63" s="3"/>
      <c r="F63" s="1" t="s">
        <v>154</v>
      </c>
      <c r="G63" s="1"/>
      <c r="H63" s="4">
        <v>50000</v>
      </c>
      <c r="I63" s="4">
        <v>200000</v>
      </c>
      <c r="J63" s="4">
        <v>2400000</v>
      </c>
    </row>
    <row r="64" spans="1:10" x14ac:dyDescent="0.2">
      <c r="A64" s="1" t="s">
        <v>10</v>
      </c>
      <c r="B64" s="1" t="s">
        <v>155</v>
      </c>
      <c r="C64" s="1" t="s">
        <v>155</v>
      </c>
      <c r="D64" s="1" t="s">
        <v>156</v>
      </c>
      <c r="E64" s="3"/>
      <c r="F64" s="1" t="s">
        <v>157</v>
      </c>
      <c r="G64" s="1"/>
      <c r="H64" s="4">
        <v>50000</v>
      </c>
      <c r="I64" s="4">
        <v>200000</v>
      </c>
      <c r="J64" s="4">
        <v>2400000</v>
      </c>
    </row>
    <row r="65" spans="1:10" x14ac:dyDescent="0.2">
      <c r="A65" s="1" t="s">
        <v>10</v>
      </c>
      <c r="B65" s="1" t="s">
        <v>155</v>
      </c>
      <c r="C65" s="1" t="s">
        <v>155</v>
      </c>
      <c r="D65" s="1" t="s">
        <v>158</v>
      </c>
      <c r="E65" s="3"/>
      <c r="F65" s="1" t="s">
        <v>159</v>
      </c>
      <c r="G65" s="1"/>
      <c r="H65" s="4">
        <v>50000</v>
      </c>
      <c r="I65" s="4">
        <v>200000</v>
      </c>
      <c r="J65" s="4">
        <v>2400000</v>
      </c>
    </row>
    <row r="66" spans="1:10" x14ac:dyDescent="0.2">
      <c r="A66" s="1" t="s">
        <v>10</v>
      </c>
      <c r="B66" s="1" t="s">
        <v>160</v>
      </c>
      <c r="C66" s="1" t="s">
        <v>160</v>
      </c>
      <c r="D66" s="1" t="s">
        <v>161</v>
      </c>
      <c r="E66" s="3"/>
      <c r="F66" s="1" t="s">
        <v>162</v>
      </c>
      <c r="G66" s="1" t="s">
        <v>163</v>
      </c>
      <c r="H66" s="4">
        <v>13541.666666666666</v>
      </c>
      <c r="I66" s="4">
        <v>54166.666666666664</v>
      </c>
      <c r="J66" s="4">
        <v>650000</v>
      </c>
    </row>
    <row r="67" spans="1:10" x14ac:dyDescent="0.2">
      <c r="A67" s="1" t="s">
        <v>10</v>
      </c>
      <c r="B67" s="1" t="s">
        <v>160</v>
      </c>
      <c r="C67" s="1" t="s">
        <v>160</v>
      </c>
      <c r="D67" s="1" t="s">
        <v>164</v>
      </c>
      <c r="E67" s="3"/>
      <c r="F67" s="1" t="s">
        <v>165</v>
      </c>
      <c r="G67" s="1"/>
      <c r="H67" s="4">
        <v>2700</v>
      </c>
      <c r="I67" s="4">
        <v>10800</v>
      </c>
      <c r="J67" s="4">
        <v>129600</v>
      </c>
    </row>
    <row r="68" spans="1:10" x14ac:dyDescent="0.2">
      <c r="A68" s="1" t="s">
        <v>10</v>
      </c>
      <c r="B68" s="1" t="s">
        <v>160</v>
      </c>
      <c r="C68" s="1" t="s">
        <v>160</v>
      </c>
      <c r="D68" s="1" t="s">
        <v>166</v>
      </c>
      <c r="E68" s="3"/>
      <c r="F68" s="1" t="s">
        <v>167</v>
      </c>
      <c r="G68" s="1"/>
      <c r="H68" s="4">
        <v>15000</v>
      </c>
      <c r="I68" s="4">
        <v>60000</v>
      </c>
      <c r="J68" s="4">
        <v>720000</v>
      </c>
    </row>
    <row r="69" spans="1:10" x14ac:dyDescent="0.2">
      <c r="A69" s="1" t="s">
        <v>10</v>
      </c>
      <c r="B69" s="1" t="s">
        <v>160</v>
      </c>
      <c r="C69" s="1" t="s">
        <v>160</v>
      </c>
      <c r="D69" s="1" t="s">
        <v>168</v>
      </c>
      <c r="E69" s="3"/>
      <c r="F69" s="1" t="s">
        <v>169</v>
      </c>
      <c r="G69" s="1"/>
      <c r="H69" s="4">
        <v>2000</v>
      </c>
      <c r="I69" s="4">
        <v>8000</v>
      </c>
      <c r="J69" s="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2026-03-23T18:59:12Z</dcterms:created>
  <dcterms:modified xsi:type="dcterms:W3CDTF">2026-03-23T18:59:37Z</dcterms:modified>
</cp:coreProperties>
</file>